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Carter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<sst xmlns="http://schemas.openxmlformats.org/spreadsheetml/2006/main" count="224" uniqueCount="157">
  <si>
    <t>id_factura</t>
  </si>
  <si>
    <t>cliente</t>
  </si>
  <si>
    <t>correo</t>
  </si>
  <si>
    <t>telefono</t>
  </si>
  <si>
    <t>ciudad</t>
  </si>
  <si>
    <t>servicio</t>
  </si>
  <si>
    <t>monto</t>
  </si>
  <si>
    <t>fecha_emision</t>
  </si>
  <si>
    <t>fecha_vencimiento</t>
  </si>
  <si>
    <t>dias_vencido</t>
  </si>
  <si>
    <t>estado</t>
  </si>
  <si>
    <t>intentos</t>
  </si>
  <si>
    <t>ultima_gestion</t>
  </si>
  <si>
    <t>nivel_riesgo</t>
  </si>
  <si>
    <t>justificacion</t>
  </si>
  <si>
    <t>F-0001</t>
  </si>
  <si>
    <t>María Vega</t>
  </si>
  <si>
    <t>mvega@example.com</t>
  </si>
  <si>
    <t>0900000001</t>
  </si>
  <si>
    <t>Quito</t>
  </si>
  <si>
    <t>Internet Hogar</t>
  </si>
  <si>
    <t>vencido</t>
  </si>
  <si>
    <t>Sin gestión</t>
  </si>
  <si>
    <t>Fecha de corte:</t>
  </si>
  <si>
    <t>F-0002</t>
  </si>
  <si>
    <t>Carlos Andrade</t>
  </si>
  <si>
    <t>candrade@example.com</t>
  </si>
  <si>
    <t>0900000002</t>
  </si>
  <si>
    <t>Guayaquil</t>
  </si>
  <si>
    <t>Paramount+</t>
  </si>
  <si>
    <t>Correo enviado 11-jul</t>
  </si>
  <si>
    <t>F-0003</t>
  </si>
  <si>
    <t>Lucía Freire</t>
  </si>
  <si>
    <t>lfreire@example.com</t>
  </si>
  <si>
    <t>0900000003</t>
  </si>
  <si>
    <t>Cuenca</t>
  </si>
  <si>
    <t>F-0004</t>
  </si>
  <si>
    <t>Diego Salazar</t>
  </si>
  <si>
    <t>dsalazar@example.com</t>
  </si>
  <si>
    <t>0900000004</t>
  </si>
  <si>
    <t>Zapping</t>
  </si>
  <si>
    <t>Correo enviado 05-jul</t>
  </si>
  <si>
    <t>F-0005</t>
  </si>
  <si>
    <t>Andrea Mora</t>
  </si>
  <si>
    <t>amora@example.com</t>
  </si>
  <si>
    <t>0900000005</t>
  </si>
  <si>
    <t>Extender</t>
  </si>
  <si>
    <t>F-0006</t>
  </si>
  <si>
    <t>Jorge Peña</t>
  </si>
  <si>
    <t>jpena@example.com</t>
  </si>
  <si>
    <t>0900000006</t>
  </si>
  <si>
    <t>NetlifeCam</t>
  </si>
  <si>
    <t>Llamada 06-jul, promete pagar</t>
  </si>
  <si>
    <t>F-0007</t>
  </si>
  <si>
    <t>Paola Jiménez</t>
  </si>
  <si>
    <t>pjimenez@example.com</t>
  </si>
  <si>
    <t>0900000007</t>
  </si>
  <si>
    <t>2 correos, sin respuesta</t>
  </si>
  <si>
    <t>F-0008</t>
  </si>
  <si>
    <t>Ricardo Núñez</t>
  </si>
  <si>
    <t>rnunez@example.com</t>
  </si>
  <si>
    <t>0900000008</t>
  </si>
  <si>
    <t>Plan Dúo</t>
  </si>
  <si>
    <t>Llamada 20-jun, evasivo</t>
  </si>
  <si>
    <t>F-0009</t>
  </si>
  <si>
    <t>Verónica Coba</t>
  </si>
  <si>
    <t>vcoba@example.com</t>
  </si>
  <si>
    <t>0900000009</t>
  </si>
  <si>
    <t>Correo + 1 llamada</t>
  </si>
  <si>
    <t>F-0010</t>
  </si>
  <si>
    <t>Fernando Loor</t>
  </si>
  <si>
    <t>floor@example.com</t>
  </si>
  <si>
    <t>0900000010</t>
  </si>
  <si>
    <t>Prometió pagar, no cumplió</t>
  </si>
  <si>
    <t>F-0011</t>
  </si>
  <si>
    <t>Gabriela Ortiz</t>
  </si>
  <si>
    <t>gortiz@example.com</t>
  </si>
  <si>
    <t>0900000011</t>
  </si>
  <si>
    <t>2 correos</t>
  </si>
  <si>
    <t>F-0012</t>
  </si>
  <si>
    <t>Santiago Reyes</t>
  </si>
  <si>
    <t>sreyes@example.com</t>
  </si>
  <si>
    <t>0900000012</t>
  </si>
  <si>
    <t>Sin respuesta a llamadas</t>
  </si>
  <si>
    <t>F-0013</t>
  </si>
  <si>
    <t>Comercial El Sol</t>
  </si>
  <si>
    <t>cobros@elsol.com</t>
  </si>
  <si>
    <t>0900000013</t>
  </si>
  <si>
    <t>Plan Empresarial</t>
  </si>
  <si>
    <t>3 correos, 2 llamadas, sin pago</t>
  </si>
  <si>
    <t>F-0014</t>
  </si>
  <si>
    <t>Marcia Tapia</t>
  </si>
  <si>
    <t>mtapia@example.com</t>
  </si>
  <si>
    <t>0900000014</t>
  </si>
  <si>
    <t>Se niega a pagar</t>
  </si>
  <si>
    <t>F-0015</t>
  </si>
  <si>
    <t>Ferretería Andina</t>
  </si>
  <si>
    <t>pagos@andina.com</t>
  </si>
  <si>
    <t>0900000015</t>
  </si>
  <si>
    <t>Deriva a legal pendiente</t>
  </si>
  <si>
    <t>F-0016</t>
  </si>
  <si>
    <t>Héctor Villamar</t>
  </si>
  <si>
    <t>hvillamar@example.com</t>
  </si>
  <si>
    <t>0900000016</t>
  </si>
  <si>
    <t>Teléfono apagado</t>
  </si>
  <si>
    <t>F-0017</t>
  </si>
  <si>
    <t>Rosa Chávez</t>
  </si>
  <si>
    <t>rchavez@example.com</t>
  </si>
  <si>
    <t>0900000017</t>
  </si>
  <si>
    <t>Ilocalizable</t>
  </si>
  <si>
    <t>F-0018</t>
  </si>
  <si>
    <t>Luis Paredes</t>
  </si>
  <si>
    <t>lparedes@example.com</t>
  </si>
  <si>
    <t>0900000018</t>
  </si>
  <si>
    <t>Monto alto pero atraso reciente</t>
  </si>
  <si>
    <t>F-0019</t>
  </si>
  <si>
    <t>Karina Suárez</t>
  </si>
  <si>
    <t>ksuarez@example.com</t>
  </si>
  <si>
    <t>0900000019</t>
  </si>
  <si>
    <t>Mucho atraso, casi sin gestión</t>
  </si>
  <si>
    <t>F-0020</t>
  </si>
  <si>
    <t>Byron Castro</t>
  </si>
  <si>
    <t>bcastro@example.com</t>
  </si>
  <si>
    <t>0900000020</t>
  </si>
  <si>
    <t>Monto bajo, muchos intentos</t>
  </si>
  <si>
    <t>F-0021</t>
  </si>
  <si>
    <t>Elena Ríos</t>
  </si>
  <si>
    <t>erios@example.com</t>
  </si>
  <si>
    <t>0900000021</t>
  </si>
  <si>
    <t>al_dia</t>
  </si>
  <si>
    <t>Al día</t>
  </si>
  <si>
    <t>F-0022</t>
  </si>
  <si>
    <t>Tomás Guerra</t>
  </si>
  <si>
    <t>tguerra@example.com</t>
  </si>
  <si>
    <t>0900000022</t>
  </si>
  <si>
    <t>F-0023</t>
  </si>
  <si>
    <t>Sofía Bravo</t>
  </si>
  <si>
    <t>sbravo@example.com</t>
  </si>
  <si>
    <t>0900000023</t>
  </si>
  <si>
    <t>pagado</t>
  </si>
  <si>
    <t>Pagó 15-jul</t>
  </si>
  <si>
    <t>F-0024</t>
  </si>
  <si>
    <t>Pablo Endara</t>
  </si>
  <si>
    <t>pendara@example.com</t>
  </si>
  <si>
    <t>0900000024</t>
  </si>
  <si>
    <t>Pagó 12-jul</t>
  </si>
  <si>
    <t>F-0025</t>
  </si>
  <si>
    <t>Daniela Mena</t>
  </si>
  <si>
    <t>dmena@example.com</t>
  </si>
  <si>
    <t>0900000025</t>
  </si>
  <si>
    <t>en_gestion</t>
  </si>
  <si>
    <t>Plan de pago acordado</t>
  </si>
  <si>
    <t>F-0026</t>
  </si>
  <si>
    <t>Iván Correa</t>
  </si>
  <si>
    <t>icorrea@example.com</t>
  </si>
  <si>
    <t>0900000026</t>
  </si>
  <si>
    <t>Convenio en revisión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</si>
</sst>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  <numFmt numFmtId="177" formatCode="yyyy\-mm\-dd"/>
  </numFmts>
  <fonts count="26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76" fontId="2" fillId="0" borderId="1" xfId="0" applyNumberFormat="1" applyFont="1" applyBorder="1"/>
    <xf numFmtId="177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177" fontId="4" fillId="4" borderId="0" xfId="0" applyNumberFormat="1" applyFont="1" applyFill="1"/>
    <xf numFmtId="0" fontId="2" fillId="0" borderId="1" xfId="0" applyFont="1" applyBorder="1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8.67619047619048" defaultRowHeight="15"/>
  <cols>
    <col min="1" max="1" width="10" customWidth="1"/>
    <col min="2" max="2" width="20" customWidth="1"/>
    <col min="3" max="3" width="26" customWidth="1"/>
    <col min="4" max="4" width="13" customWidth="1"/>
    <col min="5" max="5" width="12" customWidth="1"/>
    <col min="6" max="6" width="18" customWidth="1"/>
    <col min="7" max="7" width="12" customWidth="1"/>
    <col min="8" max="8" width="14" customWidth="1"/>
    <col min="9" max="9" width="16" customWidth="1"/>
    <col min="10" max="10" width="13" customWidth="1"/>
    <col min="11" max="11" width="12" customWidth="1"/>
    <col min="12" max="12" width="10" customWidth="1"/>
    <col min="13" max="13" width="32" customWidth="1"/>
    <col min="14" max="14" width="14" customWidth="1"/>
    <col min="15" max="15" width="40" customWidth="1"/>
    <col min="20" max="20" width="18.1428571428571" customWidth="1"/>
    <col min="21" max="21" width="12.4285714285714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1">
      <c r="A2" s="2" t="s">
        <v>15</v>
      </c>
      <c r="B2" s="2" t="s">
        <v>16</v>
      </c>
      <c r="C2" s="2" t="s">
        <v>17</v>
      </c>
      <c r="D2" s="10" t="s">
        <v>18</v>
      </c>
      <c r="E2" s="2" t="s">
        <v>19</v>
      </c>
      <c r="F2" s="2" t="s">
        <v>20</v>
      </c>
      <c r="G2" s="3">
        <v>32.9</v>
      </c>
      <c r="H2" s="4">
        <v>46187</v>
      </c>
      <c r="I2" s="4">
        <v>46217</v>
      </c>
      <c r="J2" s="5">
        <f>$U$2-I2</f>
        <v>6</v>
      </c>
      <c r="K2" s="2" t="s">
        <v>21</v>
      </c>
      <c r="L2" s="6">
        <v>0</v>
      </c>
      <c r="M2" s="2" t="s">
        <v>22</v>
      </c>
      <c r="N2" s="7"/>
      <c r="O2" s="7"/>
      <c r="T2" s="8" t="s">
        <v>23</v>
      </c>
      <c r="U2" s="9">
        <v>46223</v>
      </c>
    </row>
    <row r="3" spans="1:21">
      <c r="A3" s="2" t="s">
        <v>24</v>
      </c>
      <c r="B3" s="2" t="s">
        <v>25</v>
      </c>
      <c r="C3" s="2" t="s">
        <v>26</v>
      </c>
      <c r="D3" s="10" t="s">
        <v>27</v>
      </c>
      <c r="E3" s="2" t="s">
        <v>28</v>
      </c>
      <c r="F3" s="2" t="s">
        <v>29</v>
      </c>
      <c r="G3" s="3">
        <v>12.99</v>
      </c>
      <c r="H3" s="4">
        <v>46184</v>
      </c>
      <c r="I3" s="4">
        <v>46214</v>
      </c>
      <c r="J3" s="5">
        <f>$U$2-I3</f>
        <v>9</v>
      </c>
      <c r="K3" s="2" t="s">
        <v>21</v>
      </c>
      <c r="L3" s="6">
        <v>1</v>
      </c>
      <c r="M3" s="2" t="s">
        <v>30</v>
      </c>
      <c r="N3" s="7"/>
      <c r="O3" s="7"/>
    </row>
    <row r="4" spans="1:21">
      <c r="A4" s="2" t="s">
        <v>31</v>
      </c>
      <c r="B4" s="2" t="s">
        <v>32</v>
      </c>
      <c r="C4" s="2" t="s">
        <v>33</v>
      </c>
      <c r="D4" s="10" t="s">
        <v>34</v>
      </c>
      <c r="E4" s="2" t="s">
        <v>35</v>
      </c>
      <c r="F4" s="2" t="s">
        <v>20</v>
      </c>
      <c r="G4" s="3">
        <v>35</v>
      </c>
      <c r="H4" s="4">
        <v>46179</v>
      </c>
      <c r="I4" s="4">
        <v>46209</v>
      </c>
      <c r="J4" s="5">
        <f t="shared" ref="J4:J27" si="0">$U$2-I4</f>
        <v>14</v>
      </c>
      <c r="K4" s="2" t="s">
        <v>21</v>
      </c>
      <c r="L4" s="6">
        <v>0</v>
      </c>
      <c r="M4" s="2" t="s">
        <v>22</v>
      </c>
      <c r="N4" s="7"/>
      <c r="O4" s="7"/>
    </row>
    <row r="5" spans="1:21">
      <c r="A5" s="2" t="s">
        <v>36</v>
      </c>
      <c r="B5" s="2" t="s">
        <v>37</v>
      </c>
      <c r="C5" s="2" t="s">
        <v>38</v>
      </c>
      <c r="D5" s="10" t="s">
        <v>39</v>
      </c>
      <c r="E5" s="2" t="s">
        <v>19</v>
      </c>
      <c r="F5" s="2" t="s">
        <v>40</v>
      </c>
      <c r="G5" s="3">
        <v>19.9</v>
      </c>
      <c r="H5" s="4">
        <v>46172</v>
      </c>
      <c r="I5" s="4">
        <v>46202</v>
      </c>
      <c r="J5" s="5">
        <f t="shared" si="0"/>
        <v>21</v>
      </c>
      <c r="K5" s="2" t="s">
        <v>21</v>
      </c>
      <c r="L5" s="6">
        <v>1</v>
      </c>
      <c r="M5" s="2" t="s">
        <v>41</v>
      </c>
      <c r="N5" s="7"/>
      <c r="O5" s="7"/>
    </row>
    <row r="6" spans="1:21">
      <c r="A6" s="2" t="s">
        <v>42</v>
      </c>
      <c r="B6" s="2" t="s">
        <v>43</v>
      </c>
      <c r="C6" s="2" t="s">
        <v>44</v>
      </c>
      <c r="D6" s="10" t="s">
        <v>45</v>
      </c>
      <c r="E6" s="2" t="s">
        <v>28</v>
      </c>
      <c r="F6" s="2" t="s">
        <v>46</v>
      </c>
      <c r="G6" s="3">
        <v>15</v>
      </c>
      <c r="H6" s="4">
        <v>46182</v>
      </c>
      <c r="I6" s="4">
        <v>46212</v>
      </c>
      <c r="J6" s="5">
        <f t="shared" si="0"/>
        <v>11</v>
      </c>
      <c r="K6" s="2" t="s">
        <v>21</v>
      </c>
      <c r="L6" s="6">
        <v>0</v>
      </c>
      <c r="M6" s="2" t="s">
        <v>22</v>
      </c>
      <c r="N6" s="7"/>
      <c r="O6" s="7"/>
    </row>
    <row r="7" spans="1:21">
      <c r="A7" s="2" t="s">
        <v>47</v>
      </c>
      <c r="B7" s="2" t="s">
        <v>48</v>
      </c>
      <c r="C7" s="2" t="s">
        <v>49</v>
      </c>
      <c r="D7" s="10" t="s">
        <v>50</v>
      </c>
      <c r="E7" s="2" t="s">
        <v>35</v>
      </c>
      <c r="F7" s="2" t="s">
        <v>51</v>
      </c>
      <c r="G7" s="3">
        <v>24.5</v>
      </c>
      <c r="H7" s="4">
        <v>46175</v>
      </c>
      <c r="I7" s="4">
        <v>46205</v>
      </c>
      <c r="J7" s="5">
        <f t="shared" si="0"/>
        <v>18</v>
      </c>
      <c r="K7" s="2" t="s">
        <v>21</v>
      </c>
      <c r="L7" s="6">
        <v>1</v>
      </c>
      <c r="M7" s="2" t="s">
        <v>52</v>
      </c>
      <c r="N7" s="7"/>
      <c r="O7" s="7"/>
    </row>
    <row r="8" spans="1:21">
      <c r="A8" s="2" t="s">
        <v>53</v>
      </c>
      <c r="B8" s="2" t="s">
        <v>54</v>
      </c>
      <c r="C8" s="2" t="s">
        <v>55</v>
      </c>
      <c r="D8" s="10" t="s">
        <v>56</v>
      </c>
      <c r="E8" s="2" t="s">
        <v>19</v>
      </c>
      <c r="F8" s="2" t="s">
        <v>20</v>
      </c>
      <c r="G8" s="3">
        <v>70</v>
      </c>
      <c r="H8" s="4">
        <v>46148</v>
      </c>
      <c r="I8" s="4">
        <v>46178</v>
      </c>
      <c r="J8" s="5">
        <f t="shared" si="0"/>
        <v>45</v>
      </c>
      <c r="K8" s="2" t="s">
        <v>21</v>
      </c>
      <c r="L8" s="6">
        <v>2</v>
      </c>
      <c r="M8" s="2" t="s">
        <v>57</v>
      </c>
      <c r="N8" s="7"/>
      <c r="O8" s="7"/>
    </row>
    <row r="9" spans="1:21">
      <c r="A9" s="2" t="s">
        <v>58</v>
      </c>
      <c r="B9" s="2" t="s">
        <v>59</v>
      </c>
      <c r="C9" s="2" t="s">
        <v>60</v>
      </c>
      <c r="D9" s="10" t="s">
        <v>61</v>
      </c>
      <c r="E9" s="2" t="s">
        <v>28</v>
      </c>
      <c r="F9" s="2" t="s">
        <v>62</v>
      </c>
      <c r="G9" s="3">
        <v>58</v>
      </c>
      <c r="H9" s="4">
        <v>46141</v>
      </c>
      <c r="I9" s="4">
        <v>46171</v>
      </c>
      <c r="J9" s="5">
        <f t="shared" si="0"/>
        <v>52</v>
      </c>
      <c r="K9" s="2" t="s">
        <v>21</v>
      </c>
      <c r="L9" s="6">
        <v>3</v>
      </c>
      <c r="M9" s="2" t="s">
        <v>63</v>
      </c>
      <c r="N9" s="7"/>
      <c r="O9" s="7"/>
    </row>
    <row r="10" spans="1:21">
      <c r="A10" s="2" t="s">
        <v>64</v>
      </c>
      <c r="B10" s="2" t="s">
        <v>65</v>
      </c>
      <c r="C10" s="2" t="s">
        <v>66</v>
      </c>
      <c r="D10" s="10" t="s">
        <v>67</v>
      </c>
      <c r="E10" s="2" t="s">
        <v>35</v>
      </c>
      <c r="F10" s="2" t="s">
        <v>20</v>
      </c>
      <c r="G10" s="3">
        <v>64.9</v>
      </c>
      <c r="H10" s="4">
        <v>46133</v>
      </c>
      <c r="I10" s="4">
        <v>46163</v>
      </c>
      <c r="J10" s="5">
        <f t="shared" si="0"/>
        <v>60</v>
      </c>
      <c r="K10" s="2" t="s">
        <v>21</v>
      </c>
      <c r="L10" s="6">
        <v>2</v>
      </c>
      <c r="M10" s="2" t="s">
        <v>68</v>
      </c>
      <c r="N10" s="7"/>
      <c r="O10" s="7"/>
    </row>
    <row r="11" spans="1:21">
      <c r="A11" s="2" t="s">
        <v>69</v>
      </c>
      <c r="B11" s="2" t="s">
        <v>70</v>
      </c>
      <c r="C11" s="2" t="s">
        <v>71</v>
      </c>
      <c r="D11" s="10" t="s">
        <v>72</v>
      </c>
      <c r="E11" s="2" t="s">
        <v>28</v>
      </c>
      <c r="F11" s="2" t="s">
        <v>62</v>
      </c>
      <c r="G11" s="3">
        <v>88</v>
      </c>
      <c r="H11" s="4">
        <v>46119</v>
      </c>
      <c r="I11" s="4">
        <v>46149</v>
      </c>
      <c r="J11" s="5">
        <f t="shared" si="0"/>
        <v>74</v>
      </c>
      <c r="K11" s="2" t="s">
        <v>21</v>
      </c>
      <c r="L11" s="6">
        <v>3</v>
      </c>
      <c r="M11" s="2" t="s">
        <v>73</v>
      </c>
      <c r="N11" s="7"/>
      <c r="O11" s="7"/>
    </row>
    <row r="12" spans="1:21">
      <c r="A12" s="2" t="s">
        <v>74</v>
      </c>
      <c r="B12" s="2" t="s">
        <v>75</v>
      </c>
      <c r="C12" s="2" t="s">
        <v>76</v>
      </c>
      <c r="D12" s="10" t="s">
        <v>77</v>
      </c>
      <c r="E12" s="2" t="s">
        <v>19</v>
      </c>
      <c r="F12" s="2" t="s">
        <v>20</v>
      </c>
      <c r="G12" s="3">
        <v>49.9</v>
      </c>
      <c r="H12" s="4">
        <v>46155</v>
      </c>
      <c r="I12" s="4">
        <v>46185</v>
      </c>
      <c r="J12" s="5">
        <f t="shared" si="0"/>
        <v>38</v>
      </c>
      <c r="K12" s="2" t="s">
        <v>21</v>
      </c>
      <c r="L12" s="6">
        <v>2</v>
      </c>
      <c r="M12" s="2" t="s">
        <v>78</v>
      </c>
      <c r="N12" s="7"/>
      <c r="O12" s="7"/>
    </row>
    <row r="13" spans="1:21">
      <c r="A13" s="2" t="s">
        <v>79</v>
      </c>
      <c r="B13" s="2" t="s">
        <v>80</v>
      </c>
      <c r="C13" s="2" t="s">
        <v>81</v>
      </c>
      <c r="D13" s="10" t="s">
        <v>82</v>
      </c>
      <c r="E13" s="2" t="s">
        <v>35</v>
      </c>
      <c r="F13" s="2" t="s">
        <v>62</v>
      </c>
      <c r="G13" s="3">
        <v>76.5</v>
      </c>
      <c r="H13" s="4">
        <v>46112</v>
      </c>
      <c r="I13" s="4">
        <v>46142</v>
      </c>
      <c r="J13" s="5">
        <f t="shared" si="0"/>
        <v>81</v>
      </c>
      <c r="K13" s="2" t="s">
        <v>21</v>
      </c>
      <c r="L13" s="6">
        <v>3</v>
      </c>
      <c r="M13" s="2" t="s">
        <v>83</v>
      </c>
      <c r="N13" s="7"/>
      <c r="O13" s="7"/>
    </row>
    <row r="14" spans="1:21">
      <c r="A14" s="2" t="s">
        <v>84</v>
      </c>
      <c r="B14" s="2" t="s">
        <v>85</v>
      </c>
      <c r="C14" s="2" t="s">
        <v>86</v>
      </c>
      <c r="D14" s="10" t="s">
        <v>87</v>
      </c>
      <c r="E14" s="2" t="s">
        <v>28</v>
      </c>
      <c r="F14" s="2" t="s">
        <v>88</v>
      </c>
      <c r="G14" s="3">
        <v>1450</v>
      </c>
      <c r="H14" s="4">
        <v>46073</v>
      </c>
      <c r="I14" s="4">
        <v>46103</v>
      </c>
      <c r="J14" s="5">
        <f t="shared" si="0"/>
        <v>120</v>
      </c>
      <c r="K14" s="2" t="s">
        <v>21</v>
      </c>
      <c r="L14" s="6">
        <v>5</v>
      </c>
      <c r="M14" s="2" t="s">
        <v>89</v>
      </c>
      <c r="N14" s="7"/>
      <c r="O14" s="7"/>
    </row>
    <row r="15" spans="1:21">
      <c r="A15" s="2" t="s">
        <v>90</v>
      </c>
      <c r="B15" s="2" t="s">
        <v>91</v>
      </c>
      <c r="C15" s="2" t="s">
        <v>92</v>
      </c>
      <c r="D15" s="10" t="s">
        <v>93</v>
      </c>
      <c r="E15" s="2" t="s">
        <v>19</v>
      </c>
      <c r="F15" s="2" t="s">
        <v>20</v>
      </c>
      <c r="G15" s="3">
        <v>210</v>
      </c>
      <c r="H15" s="4">
        <v>46058</v>
      </c>
      <c r="I15" s="4">
        <v>46088</v>
      </c>
      <c r="J15" s="5">
        <f t="shared" si="0"/>
        <v>135</v>
      </c>
      <c r="K15" s="2" t="s">
        <v>21</v>
      </c>
      <c r="L15" s="6">
        <v>4</v>
      </c>
      <c r="M15" s="2" t="s">
        <v>94</v>
      </c>
      <c r="N15" s="7"/>
      <c r="O15" s="7"/>
    </row>
    <row r="16" spans="1:21">
      <c r="A16" s="2" t="s">
        <v>95</v>
      </c>
      <c r="B16" s="2" t="s">
        <v>96</v>
      </c>
      <c r="C16" s="2" t="s">
        <v>97</v>
      </c>
      <c r="D16" s="10" t="s">
        <v>98</v>
      </c>
      <c r="E16" s="2" t="s">
        <v>35</v>
      </c>
      <c r="F16" s="2" t="s">
        <v>88</v>
      </c>
      <c r="G16" s="3">
        <v>1820</v>
      </c>
      <c r="H16" s="4">
        <v>46025</v>
      </c>
      <c r="I16" s="4">
        <v>46055</v>
      </c>
      <c r="J16" s="5">
        <f t="shared" si="0"/>
        <v>168</v>
      </c>
      <c r="K16" s="2" t="s">
        <v>21</v>
      </c>
      <c r="L16" s="6">
        <v>6</v>
      </c>
      <c r="M16" s="2" t="s">
        <v>99</v>
      </c>
      <c r="N16" s="7"/>
      <c r="O16" s="7"/>
    </row>
    <row r="17" spans="1:15">
      <c r="A17" s="2" t="s">
        <v>100</v>
      </c>
      <c r="B17" s="2" t="s">
        <v>101</v>
      </c>
      <c r="C17" s="2" t="s">
        <v>102</v>
      </c>
      <c r="D17" s="10" t="s">
        <v>103</v>
      </c>
      <c r="E17" s="2" t="s">
        <v>28</v>
      </c>
      <c r="F17" s="2" t="s">
        <v>62</v>
      </c>
      <c r="G17" s="3">
        <v>320</v>
      </c>
      <c r="H17" s="4">
        <v>46043</v>
      </c>
      <c r="I17" s="4">
        <v>46073</v>
      </c>
      <c r="J17" s="5">
        <f t="shared" si="0"/>
        <v>150</v>
      </c>
      <c r="K17" s="2" t="s">
        <v>21</v>
      </c>
      <c r="L17" s="6">
        <v>5</v>
      </c>
      <c r="M17" s="2" t="s">
        <v>104</v>
      </c>
      <c r="N17" s="7"/>
      <c r="O17" s="7"/>
    </row>
    <row r="18" spans="1:15">
      <c r="A18" s="2" t="s">
        <v>105</v>
      </c>
      <c r="B18" s="2" t="s">
        <v>106</v>
      </c>
      <c r="C18" s="2" t="s">
        <v>107</v>
      </c>
      <c r="D18" s="10" t="s">
        <v>108</v>
      </c>
      <c r="E18" s="2" t="s">
        <v>19</v>
      </c>
      <c r="F18" s="2" t="s">
        <v>20</v>
      </c>
      <c r="G18" s="3">
        <v>185</v>
      </c>
      <c r="H18" s="4">
        <v>45993</v>
      </c>
      <c r="I18" s="4">
        <v>46023</v>
      </c>
      <c r="J18" s="5">
        <f t="shared" si="0"/>
        <v>200</v>
      </c>
      <c r="K18" s="2" t="s">
        <v>21</v>
      </c>
      <c r="L18" s="6">
        <v>7</v>
      </c>
      <c r="M18" s="2" t="s">
        <v>109</v>
      </c>
      <c r="N18" s="7"/>
      <c r="O18" s="7"/>
    </row>
    <row r="19" spans="1:15">
      <c r="A19" s="2" t="s">
        <v>110</v>
      </c>
      <c r="B19" s="2" t="s">
        <v>111</v>
      </c>
      <c r="C19" s="2" t="s">
        <v>112</v>
      </c>
      <c r="D19" s="10" t="s">
        <v>113</v>
      </c>
      <c r="E19" s="2" t="s">
        <v>35</v>
      </c>
      <c r="F19" s="2" t="s">
        <v>88</v>
      </c>
      <c r="G19" s="3">
        <v>980</v>
      </c>
      <c r="H19" s="4">
        <v>46165</v>
      </c>
      <c r="I19" s="4">
        <v>46195</v>
      </c>
      <c r="J19" s="5">
        <f t="shared" si="0"/>
        <v>28</v>
      </c>
      <c r="K19" s="2" t="s">
        <v>21</v>
      </c>
      <c r="L19" s="6">
        <v>1</v>
      </c>
      <c r="M19" s="2" t="s">
        <v>114</v>
      </c>
      <c r="N19" s="7"/>
      <c r="O19" s="7"/>
    </row>
    <row r="20" spans="1:15">
      <c r="A20" s="2" t="s">
        <v>115</v>
      </c>
      <c r="B20" s="2" t="s">
        <v>116</v>
      </c>
      <c r="C20" s="2" t="s">
        <v>117</v>
      </c>
      <c r="D20" s="10" t="s">
        <v>118</v>
      </c>
      <c r="E20" s="2" t="s">
        <v>19</v>
      </c>
      <c r="F20" s="2" t="s">
        <v>20</v>
      </c>
      <c r="G20" s="3">
        <v>40</v>
      </c>
      <c r="H20" s="4">
        <v>46083</v>
      </c>
      <c r="I20" s="4">
        <v>46113</v>
      </c>
      <c r="J20" s="5">
        <f t="shared" si="0"/>
        <v>110</v>
      </c>
      <c r="K20" s="2" t="s">
        <v>21</v>
      </c>
      <c r="L20" s="6">
        <v>1</v>
      </c>
      <c r="M20" s="2" t="s">
        <v>119</v>
      </c>
      <c r="N20" s="7"/>
      <c r="O20" s="7"/>
    </row>
    <row r="21" spans="1:15">
      <c r="A21" s="2" t="s">
        <v>120</v>
      </c>
      <c r="B21" s="2" t="s">
        <v>121</v>
      </c>
      <c r="C21" s="2" t="s">
        <v>122</v>
      </c>
      <c r="D21" s="10" t="s">
        <v>123</v>
      </c>
      <c r="E21" s="2" t="s">
        <v>28</v>
      </c>
      <c r="F21" s="2" t="s">
        <v>40</v>
      </c>
      <c r="G21" s="3">
        <v>22.9</v>
      </c>
      <c r="H21" s="4">
        <v>46098</v>
      </c>
      <c r="I21" s="4">
        <v>46128</v>
      </c>
      <c r="J21" s="5">
        <f t="shared" si="0"/>
        <v>95</v>
      </c>
      <c r="K21" s="2" t="s">
        <v>21</v>
      </c>
      <c r="L21" s="6">
        <v>4</v>
      </c>
      <c r="M21" s="2" t="s">
        <v>124</v>
      </c>
      <c r="N21" s="7"/>
      <c r="O21" s="7"/>
    </row>
    <row r="22" spans="1:15">
      <c r="A22" s="2" t="s">
        <v>125</v>
      </c>
      <c r="B22" s="2" t="s">
        <v>126</v>
      </c>
      <c r="C22" s="2" t="s">
        <v>127</v>
      </c>
      <c r="D22" s="10" t="s">
        <v>128</v>
      </c>
      <c r="E22" s="2" t="s">
        <v>19</v>
      </c>
      <c r="F22" s="2" t="s">
        <v>20</v>
      </c>
      <c r="G22" s="3">
        <v>35</v>
      </c>
      <c r="H22" s="4">
        <v>46198</v>
      </c>
      <c r="I22" s="4">
        <v>46228</v>
      </c>
      <c r="J22" s="5">
        <f t="shared" si="0"/>
        <v>-5</v>
      </c>
      <c r="K22" s="2" t="s">
        <v>129</v>
      </c>
      <c r="L22" s="6">
        <v>0</v>
      </c>
      <c r="M22" s="2" t="s">
        <v>130</v>
      </c>
      <c r="N22" s="7"/>
      <c r="O22" s="7"/>
    </row>
    <row r="23" spans="1:15">
      <c r="A23" s="2" t="s">
        <v>131</v>
      </c>
      <c r="B23" s="2" t="s">
        <v>132</v>
      </c>
      <c r="C23" s="2" t="s">
        <v>133</v>
      </c>
      <c r="D23" s="10" t="s">
        <v>134</v>
      </c>
      <c r="E23" s="2" t="s">
        <v>28</v>
      </c>
      <c r="F23" s="2" t="s">
        <v>29</v>
      </c>
      <c r="G23" s="3">
        <v>12.99</v>
      </c>
      <c r="H23" s="4">
        <v>46195</v>
      </c>
      <c r="I23" s="4">
        <v>46225</v>
      </c>
      <c r="J23" s="5">
        <f t="shared" si="0"/>
        <v>-2</v>
      </c>
      <c r="K23" s="2" t="s">
        <v>129</v>
      </c>
      <c r="L23" s="6">
        <v>0</v>
      </c>
      <c r="M23" s="2" t="s">
        <v>130</v>
      </c>
      <c r="N23" s="7"/>
      <c r="O23" s="7"/>
    </row>
    <row r="24" spans="1:15">
      <c r="A24" s="2" t="s">
        <v>135</v>
      </c>
      <c r="B24" s="2" t="s">
        <v>136</v>
      </c>
      <c r="C24" s="2" t="s">
        <v>137</v>
      </c>
      <c r="D24" s="10" t="s">
        <v>138</v>
      </c>
      <c r="E24" s="2" t="s">
        <v>35</v>
      </c>
      <c r="F24" s="2" t="s">
        <v>20</v>
      </c>
      <c r="G24" s="3">
        <v>35</v>
      </c>
      <c r="H24" s="4">
        <v>46153</v>
      </c>
      <c r="I24" s="4">
        <v>46183</v>
      </c>
      <c r="J24" s="5">
        <f t="shared" si="0"/>
        <v>40</v>
      </c>
      <c r="K24" s="2" t="s">
        <v>139</v>
      </c>
      <c r="L24" s="6">
        <v>2</v>
      </c>
      <c r="M24" s="2" t="s">
        <v>140</v>
      </c>
      <c r="N24" s="7"/>
      <c r="O24" s="7"/>
    </row>
    <row r="25" spans="1:15">
      <c r="A25" s="2" t="s">
        <v>141</v>
      </c>
      <c r="B25" s="2" t="s">
        <v>142</v>
      </c>
      <c r="C25" s="2" t="s">
        <v>143</v>
      </c>
      <c r="D25" s="10" t="s">
        <v>144</v>
      </c>
      <c r="E25" s="2" t="s">
        <v>19</v>
      </c>
      <c r="F25" s="2" t="s">
        <v>62</v>
      </c>
      <c r="G25" s="3">
        <v>58</v>
      </c>
      <c r="H25" s="4">
        <v>46160</v>
      </c>
      <c r="I25" s="4">
        <v>46190</v>
      </c>
      <c r="J25" s="5">
        <f t="shared" si="0"/>
        <v>33</v>
      </c>
      <c r="K25" s="2" t="s">
        <v>139</v>
      </c>
      <c r="L25" s="6">
        <v>1</v>
      </c>
      <c r="M25" s="2" t="s">
        <v>145</v>
      </c>
      <c r="N25" s="7"/>
      <c r="O25" s="7"/>
    </row>
    <row r="26" spans="1:15">
      <c r="A26" s="2" t="s">
        <v>146</v>
      </c>
      <c r="B26" s="2" t="s">
        <v>147</v>
      </c>
      <c r="C26" s="2" t="s">
        <v>148</v>
      </c>
      <c r="D26" s="10" t="s">
        <v>149</v>
      </c>
      <c r="E26" s="2" t="s">
        <v>28</v>
      </c>
      <c r="F26" s="2" t="s">
        <v>20</v>
      </c>
      <c r="G26" s="3">
        <v>49.9</v>
      </c>
      <c r="H26" s="4">
        <v>46138</v>
      </c>
      <c r="I26" s="4">
        <v>46168</v>
      </c>
      <c r="J26" s="5">
        <f t="shared" si="0"/>
        <v>55</v>
      </c>
      <c r="K26" s="2" t="s">
        <v>150</v>
      </c>
      <c r="L26" s="6">
        <v>3</v>
      </c>
      <c r="M26" s="2" t="s">
        <v>151</v>
      </c>
      <c r="N26" s="7"/>
      <c r="O26" s="7"/>
    </row>
    <row r="27" spans="1:15">
      <c r="A27" s="2" t="s">
        <v>152</v>
      </c>
      <c r="B27" s="2" t="s">
        <v>153</v>
      </c>
      <c r="C27" s="2" t="s">
        <v>154</v>
      </c>
      <c r="D27" s="10" t="s">
        <v>155</v>
      </c>
      <c r="E27" s="2" t="s">
        <v>35</v>
      </c>
      <c r="F27" s="2" t="s">
        <v>88</v>
      </c>
      <c r="G27" s="3">
        <v>760</v>
      </c>
      <c r="H27" s="4">
        <v>46105</v>
      </c>
      <c r="I27" s="4">
        <v>46135</v>
      </c>
      <c r="J27" s="5">
        <f t="shared" si="0"/>
        <v>88</v>
      </c>
      <c r="K27" s="2" t="s">
        <v>150</v>
      </c>
      <c r="L27" s="6">
        <v>4</v>
      </c>
      <c r="M27" s="2" t="s">
        <v>156</v>
      </c>
      <c r="N27" s="7"/>
      <c r="O27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Cartera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WPS_1775760288</cp:lastModifiedBy>
  <cp:revision>0</cp:revision>
  <dcterms:created xsi:type="dcterms:W3CDTF">2026-07-20T20:28:00Z</dcterms:created>
  <dcterms:modified xsi:type="dcterms:W3CDTF">2026-08-09T16:31:16Z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9119CF597E624135A09579B19B509ECA_12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